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b4cd8519c61ac18/ドキュメント/"/>
    </mc:Choice>
  </mc:AlternateContent>
  <xr:revisionPtr revIDLastSave="5" documentId="13_ncr:1_{D4A13C81-93E1-4FB0-B3DB-EC79B6BFC765}" xr6:coauthVersionLast="47" xr6:coauthVersionMax="47" xr10:uidLastSave="{ED8689CB-AEEE-4EB2-90E2-25458FEA2DC1}"/>
  <bookViews>
    <workbookView xWindow="-108" yWindow="-108" windowWidth="23256" windowHeight="12456" xr2:uid="{D39EB3BB-BB0A-4BD8-92F8-702CABDD8D28}"/>
  </bookViews>
  <sheets>
    <sheet name="INVOICE" sheetId="1" r:id="rId1"/>
    <sheet name="STOCK REPORT" sheetId="2" r:id="rId2"/>
    <sheet name="HELPING SHEET" sheetId="3" r:id="rId3"/>
    <sheet name="MAINTANCE DAT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1" l="1"/>
  <c r="D17" i="1"/>
  <c r="D20" i="1"/>
  <c r="D21" i="1"/>
  <c r="D28" i="1"/>
  <c r="D29" i="1"/>
  <c r="E3" i="3"/>
  <c r="B8" i="1"/>
  <c r="D8" i="1" s="1"/>
  <c r="B9" i="1"/>
  <c r="D9" i="1" s="1"/>
  <c r="C31" i="1"/>
  <c r="B10" i="1"/>
  <c r="D10" i="1" s="1"/>
  <c r="B11" i="1"/>
  <c r="D11" i="1" s="1"/>
  <c r="B12" i="1"/>
  <c r="D12" i="1" s="1"/>
  <c r="B13" i="1"/>
  <c r="D13" i="1" s="1"/>
  <c r="B14" i="1"/>
  <c r="D14" i="1" s="1"/>
  <c r="B15" i="1"/>
  <c r="D15" i="1" s="1"/>
  <c r="B16" i="1"/>
  <c r="B17" i="1"/>
  <c r="B18" i="1"/>
  <c r="D18" i="1" s="1"/>
  <c r="B19" i="1"/>
  <c r="D19" i="1" s="1"/>
  <c r="B20" i="1"/>
  <c r="B21" i="1"/>
  <c r="B22" i="1"/>
  <c r="D22" i="1" s="1"/>
  <c r="B23" i="1"/>
  <c r="D23" i="1" s="1"/>
  <c r="B24" i="1"/>
  <c r="D24" i="1" s="1"/>
  <c r="B25" i="1"/>
  <c r="D25" i="1" s="1"/>
  <c r="B26" i="1"/>
  <c r="D26" i="1" s="1"/>
  <c r="B27" i="1"/>
  <c r="D27" i="1" s="1"/>
  <c r="B28" i="1"/>
  <c r="B29" i="1"/>
  <c r="B30" i="1"/>
  <c r="D30" i="1" s="1"/>
  <c r="J5" i="2"/>
  <c r="B4" i="1"/>
  <c r="B3" i="1"/>
  <c r="D31" i="1" l="1"/>
  <c r="D32" i="1" s="1"/>
  <c r="D34" i="1" s="1"/>
  <c r="B31" i="1"/>
</calcChain>
</file>

<file path=xl/sharedStrings.xml><?xml version="1.0" encoding="utf-8"?>
<sst xmlns="http://schemas.openxmlformats.org/spreadsheetml/2006/main" count="103" uniqueCount="91">
  <si>
    <t>SNO</t>
  </si>
  <si>
    <t>PRODUCT DESCRIPTION</t>
  </si>
  <si>
    <t>UNIT PRICE</t>
  </si>
  <si>
    <t>Dairy Milk</t>
  </si>
  <si>
    <t>Kit Kat</t>
  </si>
  <si>
    <t>Milkybar</t>
  </si>
  <si>
    <t>Gems</t>
  </si>
  <si>
    <t>Munch</t>
  </si>
  <si>
    <t>Unibics</t>
  </si>
  <si>
    <t>Dark Fantasy</t>
  </si>
  <si>
    <t>Oreo</t>
  </si>
  <si>
    <t>Marigold</t>
  </si>
  <si>
    <t>Parle-G</t>
  </si>
  <si>
    <t>Milk</t>
  </si>
  <si>
    <t>Butter</t>
  </si>
  <si>
    <t>Curd</t>
  </si>
  <si>
    <t>Ghee</t>
  </si>
  <si>
    <t>Cheese</t>
  </si>
  <si>
    <t>Mr.gold</t>
  </si>
  <si>
    <t>Tomato</t>
  </si>
  <si>
    <t>Brinjal</t>
  </si>
  <si>
    <t>Potato</t>
  </si>
  <si>
    <t>Onion</t>
  </si>
  <si>
    <t>Chilli</t>
  </si>
  <si>
    <t>Silver Plate</t>
  </si>
  <si>
    <t>Sliver Spoon</t>
  </si>
  <si>
    <t>Copper Tumbler</t>
  </si>
  <si>
    <t>Plastics Box</t>
  </si>
  <si>
    <t>Steel Bottle</t>
  </si>
  <si>
    <t>Harpic Bathroom Cleaner</t>
  </si>
  <si>
    <t>Detol Liquid</t>
  </si>
  <si>
    <t>Lizol Floorcleaner</t>
  </si>
  <si>
    <t>MopStick</t>
  </si>
  <si>
    <t>BroomStick</t>
  </si>
  <si>
    <t>ClinicPlus Shampoo</t>
  </si>
  <si>
    <t>Meera</t>
  </si>
  <si>
    <t>Head &amp; shoulders</t>
  </si>
  <si>
    <t>All Clear</t>
  </si>
  <si>
    <t>Dove</t>
  </si>
  <si>
    <t>Chinthol</t>
  </si>
  <si>
    <t>Himalayas</t>
  </si>
  <si>
    <t>Pears</t>
  </si>
  <si>
    <t>Mysore Sandal</t>
  </si>
  <si>
    <t>LifeBuy</t>
  </si>
  <si>
    <t>Rin Washing Powder</t>
  </si>
  <si>
    <t>Power Soap</t>
  </si>
  <si>
    <t>Airel Liquid</t>
  </si>
  <si>
    <t>Induction Stove</t>
  </si>
  <si>
    <t>Batteries</t>
  </si>
  <si>
    <t>Cofffe Maker</t>
  </si>
  <si>
    <t>Buckets</t>
  </si>
  <si>
    <t>Jar and Mugs</t>
  </si>
  <si>
    <t>Floor Mats</t>
  </si>
  <si>
    <t>DustCleaner</t>
  </si>
  <si>
    <t>Fogg Perfume</t>
  </si>
  <si>
    <t>Denver Perfume</t>
  </si>
  <si>
    <t>Shot Layer Perfume</t>
  </si>
  <si>
    <t>Broot Perfume</t>
  </si>
  <si>
    <t>Jin Athar</t>
  </si>
  <si>
    <t xml:space="preserve">Sunflower </t>
  </si>
  <si>
    <t xml:space="preserve">Gold winner </t>
  </si>
  <si>
    <t xml:space="preserve">Orange </t>
  </si>
  <si>
    <t xml:space="preserve">Apple </t>
  </si>
  <si>
    <t xml:space="preserve">Grapes </t>
  </si>
  <si>
    <t xml:space="preserve">Strawberry </t>
  </si>
  <si>
    <t xml:space="preserve">Jack Fruit </t>
  </si>
  <si>
    <t xml:space="preserve">Palm Oil </t>
  </si>
  <si>
    <t xml:space="preserve">Sofala </t>
  </si>
  <si>
    <t>STOCK IN</t>
  </si>
  <si>
    <t>Date</t>
  </si>
  <si>
    <t>Mode of Payment</t>
  </si>
  <si>
    <t>Item</t>
  </si>
  <si>
    <t>QTY</t>
  </si>
  <si>
    <t>Amount</t>
  </si>
  <si>
    <t>Unit Price</t>
  </si>
  <si>
    <t>Total</t>
  </si>
  <si>
    <t>Discount</t>
  </si>
  <si>
    <t>G.Total</t>
  </si>
  <si>
    <t>Subtotal</t>
  </si>
  <si>
    <t>Bill No</t>
  </si>
  <si>
    <t>Cash</t>
  </si>
  <si>
    <t xml:space="preserve">Debit Card </t>
  </si>
  <si>
    <t>Credit Card</t>
  </si>
  <si>
    <t>Online Payment</t>
  </si>
  <si>
    <t xml:space="preserve"> </t>
  </si>
  <si>
    <t xml:space="preserve">GENTLE SUPERMARKET </t>
  </si>
  <si>
    <t>Invoice No</t>
  </si>
  <si>
    <t>Customer Name</t>
  </si>
  <si>
    <t>Abi</t>
  </si>
  <si>
    <t>SARAVANAMPATTY, NEAR KGisl</t>
  </si>
  <si>
    <t>PH:8220512345, 9095433041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</si>
</sst>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6FF99"/>
        <bgColor indexed="64"/>
      </patternFill>
    </fill>
  </fills>
  <borders count="11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5" xfId="0" applyFont="1" applyBorder="1"/>
    <xf numFmtId="0" fontId="0" fillId="0" borderId="6" xfId="0" applyBorder="1"/>
    <xf numFmtId="0" fontId="0" fillId="0" borderId="7" xfId="0" applyBorder="1"/>
    <xf numFmtId="0" fontId="4" fillId="0" borderId="0" xfId="0" applyFont="1"/>
    <xf numFmtId="0" fontId="0" fillId="3" borderId="0" xfId="0" applyFill="1"/>
    <xf numFmtId="0" fontId="2" fillId="2" borderId="1" xfId="1"/>
    <xf numFmtId="0" fontId="0" fillId="4" borderId="0" xfId="0" applyFill="1"/>
    <xf numFmtId="0" fontId="1" fillId="6" borderId="8" xfId="0" applyFont="1" applyFill="1" applyBorder="1"/>
    <xf numFmtId="0" fontId="1" fillId="7" borderId="0" xfId="0" applyFont="1" applyFill="1"/>
    <xf numFmtId="164" fontId="1" fillId="7" borderId="8" xfId="0" applyNumberFormat="1" applyFont="1" applyFill="1" applyBorder="1"/>
    <xf numFmtId="0" fontId="1" fillId="7" borderId="8" xfId="0" applyFont="1" applyFill="1" applyBorder="1"/>
    <xf numFmtId="0" fontId="0" fillId="5" borderId="0" xfId="0" applyFill="1"/>
    <xf numFmtId="0" fontId="1" fillId="8" borderId="9" xfId="0" applyFont="1" applyFill="1" applyBorder="1"/>
    <xf numFmtId="0" fontId="1" fillId="8" borderId="10" xfId="0" applyFont="1" applyFill="1" applyBorder="1"/>
    <xf numFmtId="0" fontId="1" fillId="8" borderId="6" xfId="0" applyFont="1" applyFill="1" applyBorder="1"/>
    <xf numFmtId="0" fontId="1" fillId="8" borderId="7" xfId="0" applyFont="1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10" borderId="7" xfId="0" applyFill="1" applyBorder="1"/>
    <xf numFmtId="9" fontId="0" fillId="10" borderId="7" xfId="0" applyNumberFormat="1" applyFill="1" applyBorder="1"/>
    <xf numFmtId="0" fontId="1" fillId="7" borderId="8" xfId="0" applyFont="1" applyFill="1" applyBorder="1" applyAlignment="1">
      <alignment horizontal="right"/>
    </xf>
    <xf numFmtId="0" fontId="7" fillId="7" borderId="0" xfId="0" applyFont="1" applyFill="1" applyAlignment="1">
      <alignment vertical="center"/>
    </xf>
    <xf numFmtId="0" fontId="8" fillId="7" borderId="0" xfId="0" applyFont="1" applyFill="1" applyAlignment="1">
      <alignment vertical="center"/>
    </xf>
    <xf numFmtId="0" fontId="3" fillId="5" borderId="0" xfId="0" applyFont="1" applyFill="1" applyAlignment="1">
      <alignment horizontal="center"/>
    </xf>
  </cellXfs>
  <cellStyles count="2">
    <cellStyle name="Check Cell" xfId="1" builtinId="23"/>
    <cellStyle name="Normal" xfId="0" builtinId="0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472031</xdr:colOff>
      <xdr:row>0</xdr:row>
      <xdr:rowOff>88605</xdr:rowOff>
    </xdr:from>
    <xdr:to>
      <xdr:col>3</xdr:col>
      <xdr:colOff>604169</xdr:colOff>
      <xdr:row>3</xdr:row>
      <xdr:rowOff>127351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9EEB98D-DB26-C20A-FF94-95F96D38F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4868" y="88605"/>
          <a:ext cx="734650" cy="7298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350520</xdr:colOff>
          <xdr:row>32</xdr:row>
          <xdr:rowOff>0</xdr:rowOff>
        </xdr:from>
        <xdr:to>
          <xdr:col>0</xdr:col>
          <xdr:colOff>1325880</xdr:colOff>
          <xdr:row>33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316E77-7BC0-4053-97C7-19F6452F3272}" name="Table1" displayName="Table1" ref="A1:D66" totalsRowShown="0" headerRowDxfId="6" dataDxfId="5">
  <autoFilter ref="A1:D66" xr:uid="{2E316E77-7BC0-4053-97C7-19F6452F3272}"/>
  <tableColumns count="4">
    <tableColumn id="1" xr3:uid="{EE2DB20A-129E-4450-B5B2-899265DB0407}" name="SNO" dataDxfId="4"/>
    <tableColumn id="2" xr3:uid="{A35C529F-0610-4D11-A189-1D2F7801C7A2}" name="PRODUCT DESCRIPTION" dataDxfId="3"/>
    <tableColumn id="3" xr3:uid="{0B6D8624-08A2-40A7-AA69-9291E0589AA4}" name="UNIT PRICE" dataDxfId="2"/>
    <tableColumn id="4" xr3:uid="{20FAC001-124A-4FA1-B37E-086E04B7BEAB}" name="STOCK IN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4136E9-7724-4984-AF50-982E3508A7C7}" name="Table2" displayName="Table2" ref="A1:F50" totalsRowShown="0" headerRowDxfId="0">
  <autoFilter ref="A1:F50" xr:uid="{974136E9-7724-4984-AF50-982E3508A7C7}"/>
  <tableColumns count="6">
    <tableColumn id="1" xr3:uid="{C421AA35-12A6-43DB-B6CD-9854360F524F}" name="Date"/>
    <tableColumn id="2" xr3:uid="{796A7DC1-ABE0-495A-A3BB-92E47E990538}" name="Bill No"/>
    <tableColumn id="3" xr3:uid="{78D501FD-4694-4E4C-90A6-FDF33A66BC76}" name="Mode of Payment"/>
    <tableColumn id="4" xr3:uid="{DA6207C5-C5AA-48E9-9A15-CAB14EF1115A}" name="Subtotal"/>
    <tableColumn id="6" xr3:uid="{25E33665-178C-4C07-B130-6979226960E7}" name="Discount"/>
    <tableColumn id="7" xr3:uid="{3B51EBBB-459F-4D94-B180-1B69056341D6}" name="G.Total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61033-03C6-4033-B213-C5F956CD59BD}">
  <sheetPr codeName="Sheet1"/>
  <dimension ref="A1:H34"/>
  <sheetViews>
    <sheetView showGridLines="0" tabSelected="1" zoomScale="85" zoomScaleNormal="118" workbookViewId="0">
      <selection activeCell="C11" sqref="C11"/>
    </sheetView>
  </sheetViews>
  <sheetFormatPr defaultColWidth="12.109375" defaultRowHeight="14.4" x14ac:dyDescent="0.3"/>
  <cols>
    <col min="1" max="1" width="36.88671875" customWidth="1"/>
    <col min="2" max="2" width="14.21875" customWidth="1"/>
    <col min="3" max="3" width="8.77734375" customWidth="1"/>
    <col min="4" max="4" width="13.44140625" customWidth="1"/>
  </cols>
  <sheetData>
    <row r="1" spans="1:8" ht="25.8" x14ac:dyDescent="0.5">
      <c r="A1" s="28" t="s">
        <v>85</v>
      </c>
      <c r="B1" s="28"/>
      <c r="C1" s="28"/>
      <c r="D1" s="28"/>
      <c r="E1" s="2"/>
      <c r="F1" s="2"/>
      <c r="G1" s="2"/>
      <c r="H1" s="2"/>
    </row>
    <row r="2" spans="1:8" x14ac:dyDescent="0.3">
      <c r="A2" s="15"/>
      <c r="B2" s="15"/>
      <c r="C2" s="15"/>
      <c r="D2" s="15"/>
    </row>
    <row r="3" spans="1:8" x14ac:dyDescent="0.3">
      <c r="A3" s="11" t="s">
        <v>69</v>
      </c>
      <c r="B3" s="13">
        <f ca="1">TODAY()</f>
        <v>45638</v>
      </c>
      <c r="C3" s="12"/>
      <c r="D3" s="12"/>
    </row>
    <row r="4" spans="1:8" x14ac:dyDescent="0.3">
      <c r="A4" s="11" t="s">
        <v>86</v>
      </c>
      <c r="B4" s="14">
        <f>MAX('MAINTANCE DATA'!B:B)+1</f>
        <v>2</v>
      </c>
      <c r="C4" s="12"/>
      <c r="D4" s="12"/>
    </row>
    <row r="5" spans="1:8" x14ac:dyDescent="0.3">
      <c r="A5" s="11" t="s">
        <v>87</v>
      </c>
      <c r="B5" s="25" t="s">
        <v>88</v>
      </c>
      <c r="C5" s="26" t="s">
        <v>89</v>
      </c>
      <c r="D5" s="27"/>
    </row>
    <row r="6" spans="1:8" ht="15" thickBot="1" x14ac:dyDescent="0.35">
      <c r="A6" s="11" t="s">
        <v>70</v>
      </c>
      <c r="B6" s="25" t="s">
        <v>80</v>
      </c>
      <c r="C6" s="26" t="s">
        <v>90</v>
      </c>
      <c r="D6" s="27"/>
    </row>
    <row r="7" spans="1:8" ht="15" thickBot="1" x14ac:dyDescent="0.35">
      <c r="A7" s="16" t="s">
        <v>71</v>
      </c>
      <c r="B7" s="17" t="s">
        <v>74</v>
      </c>
      <c r="C7" s="18" t="s">
        <v>72</v>
      </c>
      <c r="D7" s="19" t="s">
        <v>73</v>
      </c>
    </row>
    <row r="8" spans="1:8" x14ac:dyDescent="0.3">
      <c r="A8" s="20" t="s">
        <v>10</v>
      </c>
      <c r="B8" s="20">
        <f>IFERROR(VLOOKUP(A8,Table1[[PRODUCT DESCRIPTION]:[STOCK IN]],2,FALSE)," ")</f>
        <v>20</v>
      </c>
      <c r="C8" s="20">
        <v>5</v>
      </c>
      <c r="D8" s="20">
        <f t="shared" ref="D8:D30" si="0">IFERROR(SUM(C8*B8+B8*C8*18%)," ")</f>
        <v>118</v>
      </c>
    </row>
    <row r="9" spans="1:8" x14ac:dyDescent="0.3">
      <c r="A9" s="20" t="s">
        <v>46</v>
      </c>
      <c r="B9" s="20">
        <f>IFERROR(VLOOKUP(A9,Table1[[PRODUCT DESCRIPTION]:[STOCK IN]],2,FALSE)," ")</f>
        <v>220</v>
      </c>
      <c r="C9" s="21">
        <v>2</v>
      </c>
      <c r="D9" s="20">
        <f t="shared" si="0"/>
        <v>519.20000000000005</v>
      </c>
    </row>
    <row r="10" spans="1:8" x14ac:dyDescent="0.3">
      <c r="A10" s="20" t="s">
        <v>67</v>
      </c>
      <c r="B10" s="20">
        <f>IFERROR(VLOOKUP(A10,Table1[[PRODUCT DESCRIPTION]:[STOCK IN]],2,FALSE)," ")</f>
        <v>230</v>
      </c>
      <c r="C10" s="21">
        <v>3</v>
      </c>
      <c r="D10" s="20">
        <f t="shared" si="0"/>
        <v>814.2</v>
      </c>
    </row>
    <row r="11" spans="1:8" x14ac:dyDescent="0.3">
      <c r="A11" s="20"/>
      <c r="B11" s="20" t="str">
        <f>IFERROR(VLOOKUP(A11,Table1[[PRODUCT DESCRIPTION]:[STOCK IN]],2,FALSE)," ")</f>
        <v xml:space="preserve"> </v>
      </c>
      <c r="C11" s="21"/>
      <c r="D11" s="20" t="str">
        <f t="shared" si="0"/>
        <v xml:space="preserve"> </v>
      </c>
    </row>
    <row r="12" spans="1:8" x14ac:dyDescent="0.3">
      <c r="A12" s="20"/>
      <c r="B12" s="20" t="str">
        <f>IFERROR(VLOOKUP(A12,Table1[[PRODUCT DESCRIPTION]:[STOCK IN]],2,FALSE)," ")</f>
        <v xml:space="preserve"> </v>
      </c>
      <c r="C12" s="21"/>
      <c r="D12" s="20" t="str">
        <f t="shared" si="0"/>
        <v xml:space="preserve"> </v>
      </c>
    </row>
    <row r="13" spans="1:8" x14ac:dyDescent="0.3">
      <c r="A13" s="20"/>
      <c r="B13" s="20" t="str">
        <f>IFERROR(VLOOKUP(A13,Table1[[PRODUCT DESCRIPTION]:[STOCK IN]],2,FALSE)," ")</f>
        <v xml:space="preserve"> </v>
      </c>
      <c r="C13" s="21"/>
      <c r="D13" s="20" t="str">
        <f t="shared" si="0"/>
        <v xml:space="preserve"> </v>
      </c>
    </row>
    <row r="14" spans="1:8" x14ac:dyDescent="0.3">
      <c r="A14" s="20"/>
      <c r="B14" s="20" t="str">
        <f>IFERROR(VLOOKUP(A14,Table1[[PRODUCT DESCRIPTION]:[STOCK IN]],2,FALSE)," ")</f>
        <v xml:space="preserve"> </v>
      </c>
      <c r="C14" s="21"/>
      <c r="D14" s="20" t="str">
        <f t="shared" si="0"/>
        <v xml:space="preserve"> </v>
      </c>
    </row>
    <row r="15" spans="1:8" x14ac:dyDescent="0.3">
      <c r="A15" s="20"/>
      <c r="B15" s="20" t="str">
        <f>IFERROR(VLOOKUP(A15,Table1[[PRODUCT DESCRIPTION]:[STOCK IN]],2,FALSE)," ")</f>
        <v xml:space="preserve"> </v>
      </c>
      <c r="C15" s="21"/>
      <c r="D15" s="20" t="str">
        <f t="shared" si="0"/>
        <v xml:space="preserve"> </v>
      </c>
    </row>
    <row r="16" spans="1:8" x14ac:dyDescent="0.3">
      <c r="A16" s="20"/>
      <c r="B16" s="20" t="str">
        <f>IFERROR(VLOOKUP(A16,Table1[[PRODUCT DESCRIPTION]:[STOCK IN]],2,FALSE)," ")</f>
        <v xml:space="preserve"> </v>
      </c>
      <c r="C16" s="21"/>
      <c r="D16" s="20" t="str">
        <f t="shared" si="0"/>
        <v xml:space="preserve"> </v>
      </c>
    </row>
    <row r="17" spans="1:4" x14ac:dyDescent="0.3">
      <c r="A17" s="20"/>
      <c r="B17" s="20" t="str">
        <f>IFERROR(VLOOKUP(A17,Table1[[PRODUCT DESCRIPTION]:[STOCK IN]],2,FALSE)," ")</f>
        <v xml:space="preserve"> </v>
      </c>
      <c r="C17" s="21"/>
      <c r="D17" s="20" t="str">
        <f t="shared" si="0"/>
        <v xml:space="preserve"> </v>
      </c>
    </row>
    <row r="18" spans="1:4" x14ac:dyDescent="0.3">
      <c r="A18" s="20"/>
      <c r="B18" s="20" t="str">
        <f>IFERROR(VLOOKUP(A18,Table1[[PRODUCT DESCRIPTION]:[STOCK IN]],2,FALSE)," ")</f>
        <v xml:space="preserve"> </v>
      </c>
      <c r="C18" s="21"/>
      <c r="D18" s="20" t="str">
        <f t="shared" si="0"/>
        <v xml:space="preserve"> </v>
      </c>
    </row>
    <row r="19" spans="1:4" x14ac:dyDescent="0.3">
      <c r="A19" s="20"/>
      <c r="B19" s="20" t="str">
        <f>IFERROR(VLOOKUP(A19,Table1[[PRODUCT DESCRIPTION]:[STOCK IN]],2,FALSE)," ")</f>
        <v xml:space="preserve"> </v>
      </c>
      <c r="C19" s="21"/>
      <c r="D19" s="20" t="str">
        <f t="shared" si="0"/>
        <v xml:space="preserve"> </v>
      </c>
    </row>
    <row r="20" spans="1:4" x14ac:dyDescent="0.3">
      <c r="A20" s="20"/>
      <c r="B20" s="20" t="str">
        <f>IFERROR(VLOOKUP(A20,Table1[[PRODUCT DESCRIPTION]:[STOCK IN]],2,FALSE)," ")</f>
        <v xml:space="preserve"> </v>
      </c>
      <c r="C20" s="21"/>
      <c r="D20" s="20" t="str">
        <f t="shared" si="0"/>
        <v xml:space="preserve"> </v>
      </c>
    </row>
    <row r="21" spans="1:4" x14ac:dyDescent="0.3">
      <c r="A21" s="20"/>
      <c r="B21" s="20" t="str">
        <f>IFERROR(VLOOKUP(A21,Table1[[PRODUCT DESCRIPTION]:[STOCK IN]],2,FALSE)," ")</f>
        <v xml:space="preserve"> </v>
      </c>
      <c r="C21" s="21"/>
      <c r="D21" s="20" t="str">
        <f t="shared" si="0"/>
        <v xml:space="preserve"> </v>
      </c>
    </row>
    <row r="22" spans="1:4" x14ac:dyDescent="0.3">
      <c r="A22" s="20"/>
      <c r="B22" s="20" t="str">
        <f>IFERROR(VLOOKUP(A22,Table1[[PRODUCT DESCRIPTION]:[STOCK IN]],2,FALSE)," ")</f>
        <v xml:space="preserve"> </v>
      </c>
      <c r="C22" s="21"/>
      <c r="D22" s="20" t="str">
        <f t="shared" si="0"/>
        <v xml:space="preserve"> </v>
      </c>
    </row>
    <row r="23" spans="1:4" x14ac:dyDescent="0.3">
      <c r="A23" s="20"/>
      <c r="B23" s="20" t="str">
        <f>IFERROR(VLOOKUP(A23,Table1[[PRODUCT DESCRIPTION]:[STOCK IN]],2,FALSE)," ")</f>
        <v xml:space="preserve"> </v>
      </c>
      <c r="C23" s="21"/>
      <c r="D23" s="20" t="str">
        <f t="shared" si="0"/>
        <v xml:space="preserve"> </v>
      </c>
    </row>
    <row r="24" spans="1:4" x14ac:dyDescent="0.3">
      <c r="A24" s="20"/>
      <c r="B24" s="20" t="str">
        <f>IFERROR(VLOOKUP(A24,Table1[[PRODUCT DESCRIPTION]:[STOCK IN]],2,FALSE)," ")</f>
        <v xml:space="preserve"> </v>
      </c>
      <c r="C24" s="21"/>
      <c r="D24" s="20" t="str">
        <f t="shared" si="0"/>
        <v xml:space="preserve"> </v>
      </c>
    </row>
    <row r="25" spans="1:4" x14ac:dyDescent="0.3">
      <c r="A25" s="20"/>
      <c r="B25" s="20" t="str">
        <f>IFERROR(VLOOKUP(A25,Table1[[PRODUCT DESCRIPTION]:[STOCK IN]],2,FALSE)," ")</f>
        <v xml:space="preserve"> </v>
      </c>
      <c r="C25" s="21"/>
      <c r="D25" s="20" t="str">
        <f t="shared" si="0"/>
        <v xml:space="preserve"> </v>
      </c>
    </row>
    <row r="26" spans="1:4" x14ac:dyDescent="0.3">
      <c r="A26" s="20"/>
      <c r="B26" s="20" t="str">
        <f>IFERROR(VLOOKUP(A26,Table1[[PRODUCT DESCRIPTION]:[STOCK IN]],2,FALSE)," ")</f>
        <v xml:space="preserve"> </v>
      </c>
      <c r="C26" s="21"/>
      <c r="D26" s="20" t="str">
        <f t="shared" si="0"/>
        <v xml:space="preserve"> </v>
      </c>
    </row>
    <row r="27" spans="1:4" x14ac:dyDescent="0.3">
      <c r="A27" s="20"/>
      <c r="B27" s="20" t="str">
        <f>IFERROR(VLOOKUP(A27,Table1[[PRODUCT DESCRIPTION]:[STOCK IN]],2,FALSE)," ")</f>
        <v xml:space="preserve"> </v>
      </c>
      <c r="C27" s="21"/>
      <c r="D27" s="20" t="str">
        <f t="shared" si="0"/>
        <v xml:space="preserve"> </v>
      </c>
    </row>
    <row r="28" spans="1:4" x14ac:dyDescent="0.3">
      <c r="A28" s="20"/>
      <c r="B28" s="20" t="str">
        <f>IFERROR(VLOOKUP(A28,Table1[[PRODUCT DESCRIPTION]:[STOCK IN]],2,FALSE)," ")</f>
        <v xml:space="preserve"> </v>
      </c>
      <c r="C28" s="21"/>
      <c r="D28" s="20" t="str">
        <f t="shared" si="0"/>
        <v xml:space="preserve"> </v>
      </c>
    </row>
    <row r="29" spans="1:4" x14ac:dyDescent="0.3">
      <c r="A29" s="20"/>
      <c r="B29" s="20" t="str">
        <f>IFERROR(VLOOKUP(A29,Table1[[PRODUCT DESCRIPTION]:[STOCK IN]],2,FALSE)," ")</f>
        <v xml:space="preserve"> </v>
      </c>
      <c r="C29" s="21"/>
      <c r="D29" s="20" t="str">
        <f t="shared" si="0"/>
        <v xml:space="preserve"> </v>
      </c>
    </row>
    <row r="30" spans="1:4" ht="15" thickBot="1" x14ac:dyDescent="0.35">
      <c r="A30" s="20"/>
      <c r="B30" s="20" t="str">
        <f>IFERROR(VLOOKUP(A30,Table1[[PRODUCT DESCRIPTION]:[STOCK IN]],2,FALSE)," ")</f>
        <v xml:space="preserve"> </v>
      </c>
      <c r="C30" s="22"/>
      <c r="D30" s="20" t="str">
        <f t="shared" si="0"/>
        <v xml:space="preserve"> </v>
      </c>
    </row>
    <row r="31" spans="1:4" ht="15" thickBot="1" x14ac:dyDescent="0.35">
      <c r="A31" s="4" t="s">
        <v>75</v>
      </c>
      <c r="B31" s="5">
        <f>SUM(B8:B30)</f>
        <v>470</v>
      </c>
      <c r="C31" s="5">
        <f>IF(C8=" "," ",SUM(C8:C30))</f>
        <v>10</v>
      </c>
      <c r="D31" s="6">
        <f>IF(D8=" "," ",SUM(D8:D30))</f>
        <v>1451.4</v>
      </c>
    </row>
    <row r="32" spans="1:4" ht="15" thickBot="1" x14ac:dyDescent="0.35">
      <c r="A32" s="3"/>
      <c r="C32" s="4" t="s">
        <v>78</v>
      </c>
      <c r="D32" s="23">
        <f>D31</f>
        <v>1451.4</v>
      </c>
    </row>
    <row r="33" spans="3:4" ht="15" thickBot="1" x14ac:dyDescent="0.35">
      <c r="C33" s="4" t="s">
        <v>76</v>
      </c>
      <c r="D33" s="24">
        <v>0.05</v>
      </c>
    </row>
    <row r="34" spans="3:4" ht="15" thickBot="1" x14ac:dyDescent="0.35">
      <c r="C34" s="4" t="s">
        <v>77</v>
      </c>
      <c r="D34" s="23">
        <f>IFERROR(SUM(D32-D32*D33)," ")</f>
        <v>1378.8300000000002</v>
      </c>
    </row>
  </sheetData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SaveAsPDF">
                <anchor moveWithCells="1" sizeWithCells="1">
                  <from>
                    <xdr:col>0</xdr:col>
                    <xdr:colOff>350520</xdr:colOff>
                    <xdr:row>32</xdr:row>
                    <xdr:rowOff>0</xdr:rowOff>
                  </from>
                  <to>
                    <xdr:col>0</xdr:col>
                    <xdr:colOff>1325880</xdr:colOff>
                    <xdr:row>33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7FE5247-5E97-4D20-9C89-AD80E815F406}">
          <x14:formula1>
            <xm:f>'HELPING SHEET'!$A$2:$A$5</xm:f>
          </x14:formula1>
          <xm:sqref>B6</xm:sqref>
        </x14:dataValidation>
        <x14:dataValidation type="list" allowBlank="1" showInputMessage="1" showErrorMessage="1" xr:uid="{914FFE7B-42C5-48DF-9FE1-583A5373A075}">
          <x14:formula1>
            <xm:f>'STOCK REPORT'!B2:B66</xm:f>
          </x14:formula1>
          <xm:sqref>A8:A30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505F-FC23-4D94-9CF6-1182F37B322B}">
  <sheetPr codeName="Sheet2"/>
  <dimension ref="A1:J66"/>
  <sheetViews>
    <sheetView topLeftCell="A40" workbookViewId="0">
      <selection activeCell="J5" sqref="J5"/>
    </sheetView>
  </sheetViews>
  <sheetFormatPr defaultRowHeight="14.4" x14ac:dyDescent="0.3"/>
  <cols>
    <col min="1" max="1" width="10" style="1" customWidth="1"/>
    <col min="2" max="2" width="26.21875" style="1" customWidth="1"/>
    <col min="3" max="3" width="15.21875" style="1" customWidth="1"/>
    <col min="4" max="4" width="16.109375" style="1" customWidth="1"/>
    <col min="5" max="16384" width="8.88671875" style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68</v>
      </c>
    </row>
    <row r="2" spans="1:10" x14ac:dyDescent="0.3">
      <c r="A2" s="1">
        <v>1</v>
      </c>
      <c r="B2" s="1" t="s">
        <v>3</v>
      </c>
      <c r="C2" s="1">
        <v>10</v>
      </c>
      <c r="D2" s="1">
        <v>100</v>
      </c>
    </row>
    <row r="3" spans="1:10" x14ac:dyDescent="0.3">
      <c r="A3" s="1">
        <v>2</v>
      </c>
      <c r="B3" s="1" t="s">
        <v>4</v>
      </c>
      <c r="C3" s="1">
        <v>10</v>
      </c>
      <c r="D3" s="1">
        <v>100</v>
      </c>
    </row>
    <row r="4" spans="1:10" x14ac:dyDescent="0.3">
      <c r="A4" s="1">
        <v>3</v>
      </c>
      <c r="B4" s="1" t="s">
        <v>5</v>
      </c>
      <c r="C4" s="1">
        <v>5</v>
      </c>
      <c r="D4" s="1">
        <v>100</v>
      </c>
    </row>
    <row r="5" spans="1:10" x14ac:dyDescent="0.3">
      <c r="A5" s="1">
        <v>4</v>
      </c>
      <c r="B5" s="1" t="s">
        <v>6</v>
      </c>
      <c r="C5" s="1">
        <v>30</v>
      </c>
      <c r="D5" s="1">
        <v>100</v>
      </c>
      <c r="I5" s="1" t="s">
        <v>6</v>
      </c>
      <c r="J5" s="1">
        <f>VLOOKUP(I5,Table1[[PRODUCT DESCRIPTION]:[STOCK IN]],2,FALSE)</f>
        <v>30</v>
      </c>
    </row>
    <row r="6" spans="1:10" x14ac:dyDescent="0.3">
      <c r="A6" s="1">
        <v>5</v>
      </c>
      <c r="B6" s="1" t="s">
        <v>7</v>
      </c>
      <c r="C6" s="1">
        <v>10</v>
      </c>
      <c r="D6" s="1">
        <v>100</v>
      </c>
    </row>
    <row r="7" spans="1:10" x14ac:dyDescent="0.3">
      <c r="A7" s="1">
        <v>6</v>
      </c>
      <c r="B7" s="1" t="s">
        <v>8</v>
      </c>
      <c r="C7" s="1">
        <v>10</v>
      </c>
      <c r="D7" s="1">
        <v>100</v>
      </c>
    </row>
    <row r="8" spans="1:10" x14ac:dyDescent="0.3">
      <c r="A8" s="1">
        <v>7</v>
      </c>
      <c r="B8" s="1" t="s">
        <v>9</v>
      </c>
      <c r="C8" s="1">
        <v>30</v>
      </c>
      <c r="D8" s="1">
        <v>100</v>
      </c>
    </row>
    <row r="9" spans="1:10" x14ac:dyDescent="0.3">
      <c r="A9" s="1">
        <v>8</v>
      </c>
      <c r="B9" s="1" t="s">
        <v>10</v>
      </c>
      <c r="C9" s="1">
        <v>20</v>
      </c>
      <c r="D9" s="1">
        <v>100</v>
      </c>
    </row>
    <row r="10" spans="1:10" x14ac:dyDescent="0.3">
      <c r="A10" s="1">
        <v>9</v>
      </c>
      <c r="B10" s="1" t="s">
        <v>11</v>
      </c>
      <c r="C10" s="1">
        <v>10</v>
      </c>
      <c r="D10" s="1">
        <v>100</v>
      </c>
    </row>
    <row r="11" spans="1:10" x14ac:dyDescent="0.3">
      <c r="A11" s="1">
        <v>10</v>
      </c>
      <c r="B11" s="1" t="s">
        <v>12</v>
      </c>
      <c r="C11" s="1">
        <v>5</v>
      </c>
      <c r="D11" s="1">
        <v>100</v>
      </c>
    </row>
    <row r="12" spans="1:10" x14ac:dyDescent="0.3">
      <c r="A12" s="1">
        <v>11</v>
      </c>
      <c r="B12" s="1" t="s">
        <v>13</v>
      </c>
      <c r="C12" s="1">
        <v>15</v>
      </c>
      <c r="D12" s="1">
        <v>10</v>
      </c>
    </row>
    <row r="13" spans="1:10" x14ac:dyDescent="0.3">
      <c r="A13" s="1">
        <v>12</v>
      </c>
      <c r="B13" s="1" t="s">
        <v>14</v>
      </c>
      <c r="C13" s="1">
        <v>20</v>
      </c>
      <c r="D13" s="1">
        <v>50</v>
      </c>
    </row>
    <row r="14" spans="1:10" x14ac:dyDescent="0.3">
      <c r="A14" s="1">
        <v>13</v>
      </c>
      <c r="B14" s="1" t="s">
        <v>15</v>
      </c>
      <c r="C14" s="1">
        <v>10</v>
      </c>
      <c r="D14" s="1">
        <v>50</v>
      </c>
    </row>
    <row r="15" spans="1:10" x14ac:dyDescent="0.3">
      <c r="A15" s="1">
        <v>14</v>
      </c>
      <c r="B15" s="1" t="s">
        <v>16</v>
      </c>
      <c r="C15" s="1">
        <v>35</v>
      </c>
      <c r="D15" s="1">
        <v>50</v>
      </c>
    </row>
    <row r="16" spans="1:10" x14ac:dyDescent="0.3">
      <c r="A16" s="1">
        <v>15</v>
      </c>
      <c r="B16" s="1" t="s">
        <v>17</v>
      </c>
      <c r="C16" s="1">
        <v>30</v>
      </c>
      <c r="D16" s="1">
        <v>50</v>
      </c>
    </row>
    <row r="17" spans="1:4" x14ac:dyDescent="0.3">
      <c r="A17" s="1">
        <v>16</v>
      </c>
      <c r="B17" s="1" t="s">
        <v>59</v>
      </c>
      <c r="C17" s="1">
        <v>190</v>
      </c>
      <c r="D17" s="1">
        <v>100</v>
      </c>
    </row>
    <row r="18" spans="1:4" x14ac:dyDescent="0.3">
      <c r="A18" s="1">
        <v>17</v>
      </c>
      <c r="B18" s="1" t="s">
        <v>60</v>
      </c>
      <c r="C18" s="1">
        <v>225</v>
      </c>
      <c r="D18" s="1">
        <v>100</v>
      </c>
    </row>
    <row r="19" spans="1:4" x14ac:dyDescent="0.3">
      <c r="A19" s="1">
        <v>18</v>
      </c>
      <c r="B19" s="1" t="s">
        <v>67</v>
      </c>
      <c r="C19" s="1">
        <v>230</v>
      </c>
      <c r="D19" s="1">
        <v>100</v>
      </c>
    </row>
    <row r="20" spans="1:4" x14ac:dyDescent="0.3">
      <c r="A20" s="1">
        <v>19</v>
      </c>
      <c r="B20" s="1" t="s">
        <v>18</v>
      </c>
      <c r="C20" s="1">
        <v>180</v>
      </c>
      <c r="D20" s="1">
        <v>100</v>
      </c>
    </row>
    <row r="21" spans="1:4" x14ac:dyDescent="0.3">
      <c r="A21" s="1">
        <v>20</v>
      </c>
      <c r="B21" s="1" t="s">
        <v>66</v>
      </c>
      <c r="C21" s="1">
        <v>110</v>
      </c>
      <c r="D21" s="1">
        <v>100</v>
      </c>
    </row>
    <row r="22" spans="1:4" x14ac:dyDescent="0.3">
      <c r="A22" s="1">
        <v>21</v>
      </c>
      <c r="B22" s="1" t="s">
        <v>61</v>
      </c>
      <c r="C22" s="1">
        <v>90</v>
      </c>
      <c r="D22" s="1">
        <v>100</v>
      </c>
    </row>
    <row r="23" spans="1:4" x14ac:dyDescent="0.3">
      <c r="A23" s="1">
        <v>22</v>
      </c>
      <c r="B23" s="1" t="s">
        <v>62</v>
      </c>
      <c r="C23" s="1">
        <v>80</v>
      </c>
      <c r="D23" s="1">
        <v>30</v>
      </c>
    </row>
    <row r="24" spans="1:4" x14ac:dyDescent="0.3">
      <c r="A24" s="1">
        <v>23</v>
      </c>
      <c r="B24" s="1" t="s">
        <v>63</v>
      </c>
      <c r="C24" s="1">
        <v>80</v>
      </c>
      <c r="D24" s="1">
        <v>30</v>
      </c>
    </row>
    <row r="25" spans="1:4" x14ac:dyDescent="0.3">
      <c r="A25" s="1">
        <v>24</v>
      </c>
      <c r="B25" s="1" t="s">
        <v>64</v>
      </c>
      <c r="C25" s="1">
        <v>110</v>
      </c>
      <c r="D25" s="1">
        <v>30</v>
      </c>
    </row>
    <row r="26" spans="1:4" x14ac:dyDescent="0.3">
      <c r="A26" s="1">
        <v>25</v>
      </c>
      <c r="B26" s="1" t="s">
        <v>65</v>
      </c>
      <c r="C26" s="1">
        <v>120</v>
      </c>
      <c r="D26" s="1">
        <v>30</v>
      </c>
    </row>
    <row r="27" spans="1:4" x14ac:dyDescent="0.3">
      <c r="A27" s="1">
        <v>26</v>
      </c>
      <c r="B27" s="1" t="s">
        <v>19</v>
      </c>
      <c r="C27" s="1">
        <v>70</v>
      </c>
      <c r="D27" s="1">
        <v>30</v>
      </c>
    </row>
    <row r="28" spans="1:4" x14ac:dyDescent="0.3">
      <c r="A28" s="1">
        <v>27</v>
      </c>
      <c r="B28" s="1" t="s">
        <v>20</v>
      </c>
      <c r="C28" s="1">
        <v>60</v>
      </c>
      <c r="D28" s="1">
        <v>30</v>
      </c>
    </row>
    <row r="29" spans="1:4" x14ac:dyDescent="0.3">
      <c r="A29" s="1">
        <v>28</v>
      </c>
      <c r="B29" s="1" t="s">
        <v>21</v>
      </c>
      <c r="C29" s="1">
        <v>60</v>
      </c>
      <c r="D29" s="1">
        <v>30</v>
      </c>
    </row>
    <row r="30" spans="1:4" x14ac:dyDescent="0.3">
      <c r="A30" s="1">
        <v>29</v>
      </c>
      <c r="B30" s="1" t="s">
        <v>22</v>
      </c>
      <c r="C30" s="1">
        <v>70</v>
      </c>
      <c r="D30" s="1">
        <v>30</v>
      </c>
    </row>
    <row r="31" spans="1:4" x14ac:dyDescent="0.3">
      <c r="A31" s="1">
        <v>30</v>
      </c>
      <c r="B31" s="1" t="s">
        <v>23</v>
      </c>
      <c r="C31" s="1">
        <v>25</v>
      </c>
      <c r="D31" s="1">
        <v>5</v>
      </c>
    </row>
    <row r="32" spans="1:4" x14ac:dyDescent="0.3">
      <c r="A32" s="1">
        <v>31</v>
      </c>
      <c r="B32" s="1" t="s">
        <v>24</v>
      </c>
      <c r="C32" s="1">
        <v>120</v>
      </c>
      <c r="D32" s="1">
        <v>100</v>
      </c>
    </row>
    <row r="33" spans="1:4" x14ac:dyDescent="0.3">
      <c r="A33" s="1">
        <v>32</v>
      </c>
      <c r="B33" s="1" t="s">
        <v>25</v>
      </c>
      <c r="C33" s="1">
        <v>25</v>
      </c>
      <c r="D33" s="1">
        <v>100</v>
      </c>
    </row>
    <row r="34" spans="1:4" x14ac:dyDescent="0.3">
      <c r="A34" s="1">
        <v>33</v>
      </c>
      <c r="B34" s="1" t="s">
        <v>26</v>
      </c>
      <c r="C34" s="1">
        <v>70</v>
      </c>
      <c r="D34" s="1">
        <v>100</v>
      </c>
    </row>
    <row r="35" spans="1:4" x14ac:dyDescent="0.3">
      <c r="A35" s="1">
        <v>34</v>
      </c>
      <c r="B35" s="1" t="s">
        <v>27</v>
      </c>
      <c r="C35" s="1">
        <v>30</v>
      </c>
      <c r="D35" s="1">
        <v>100</v>
      </c>
    </row>
    <row r="36" spans="1:4" x14ac:dyDescent="0.3">
      <c r="A36" s="1">
        <v>35</v>
      </c>
      <c r="B36" s="1" t="s">
        <v>28</v>
      </c>
      <c r="C36" s="1">
        <v>250</v>
      </c>
      <c r="D36" s="1">
        <v>100</v>
      </c>
    </row>
    <row r="37" spans="1:4" x14ac:dyDescent="0.3">
      <c r="A37" s="1">
        <v>36</v>
      </c>
      <c r="B37" s="1" t="s">
        <v>29</v>
      </c>
      <c r="C37" s="1">
        <v>95</v>
      </c>
      <c r="D37" s="1">
        <v>100</v>
      </c>
    </row>
    <row r="38" spans="1:4" x14ac:dyDescent="0.3">
      <c r="A38" s="1">
        <v>37</v>
      </c>
      <c r="B38" s="1" t="s">
        <v>30</v>
      </c>
      <c r="C38" s="1">
        <v>50</v>
      </c>
      <c r="D38" s="1">
        <v>100</v>
      </c>
    </row>
    <row r="39" spans="1:4" x14ac:dyDescent="0.3">
      <c r="A39" s="1">
        <v>38</v>
      </c>
      <c r="B39" s="1" t="s">
        <v>31</v>
      </c>
      <c r="C39" s="1">
        <v>65</v>
      </c>
      <c r="D39" s="1">
        <v>100</v>
      </c>
    </row>
    <row r="40" spans="1:4" x14ac:dyDescent="0.3">
      <c r="A40" s="1">
        <v>39</v>
      </c>
      <c r="B40" s="1" t="s">
        <v>32</v>
      </c>
      <c r="C40" s="1">
        <v>130</v>
      </c>
      <c r="D40" s="1">
        <v>100</v>
      </c>
    </row>
    <row r="41" spans="1:4" x14ac:dyDescent="0.3">
      <c r="A41" s="1">
        <v>40</v>
      </c>
      <c r="B41" s="1" t="s">
        <v>33</v>
      </c>
      <c r="C41" s="1">
        <v>80</v>
      </c>
      <c r="D41" s="1">
        <v>100</v>
      </c>
    </row>
    <row r="42" spans="1:4" x14ac:dyDescent="0.3">
      <c r="A42" s="1">
        <v>41</v>
      </c>
      <c r="B42" s="1" t="s">
        <v>34</v>
      </c>
      <c r="C42" s="1">
        <v>2</v>
      </c>
      <c r="D42" s="1">
        <v>100</v>
      </c>
    </row>
    <row r="43" spans="1:4" x14ac:dyDescent="0.3">
      <c r="A43" s="1">
        <v>42</v>
      </c>
      <c r="B43" s="1" t="s">
        <v>35</v>
      </c>
      <c r="C43" s="1">
        <v>1</v>
      </c>
      <c r="D43" s="1">
        <v>100</v>
      </c>
    </row>
    <row r="44" spans="1:4" x14ac:dyDescent="0.3">
      <c r="A44" s="1">
        <v>43</v>
      </c>
      <c r="B44" s="1" t="s">
        <v>36</v>
      </c>
      <c r="C44" s="1">
        <v>2</v>
      </c>
      <c r="D44" s="1">
        <v>100</v>
      </c>
    </row>
    <row r="45" spans="1:4" x14ac:dyDescent="0.3">
      <c r="A45" s="1">
        <v>44</v>
      </c>
      <c r="B45" s="1" t="s">
        <v>37</v>
      </c>
      <c r="C45" s="1">
        <v>3</v>
      </c>
      <c r="D45" s="1">
        <v>100</v>
      </c>
    </row>
    <row r="46" spans="1:4" x14ac:dyDescent="0.3">
      <c r="A46" s="1">
        <v>45</v>
      </c>
      <c r="B46" s="1" t="s">
        <v>38</v>
      </c>
      <c r="C46" s="1">
        <v>5</v>
      </c>
      <c r="D46" s="1">
        <v>100</v>
      </c>
    </row>
    <row r="47" spans="1:4" x14ac:dyDescent="0.3">
      <c r="A47" s="1">
        <v>46</v>
      </c>
      <c r="B47" s="1" t="s">
        <v>39</v>
      </c>
      <c r="C47" s="1">
        <v>40</v>
      </c>
      <c r="D47" s="1">
        <v>100</v>
      </c>
    </row>
    <row r="48" spans="1:4" x14ac:dyDescent="0.3">
      <c r="A48" s="1">
        <v>47</v>
      </c>
      <c r="B48" s="1" t="s">
        <v>40</v>
      </c>
      <c r="C48" s="1">
        <v>110</v>
      </c>
      <c r="D48" s="1">
        <v>100</v>
      </c>
    </row>
    <row r="49" spans="1:4" x14ac:dyDescent="0.3">
      <c r="A49" s="1">
        <v>48</v>
      </c>
      <c r="B49" s="1" t="s">
        <v>41</v>
      </c>
      <c r="C49" s="1">
        <v>90</v>
      </c>
      <c r="D49" s="1">
        <v>100</v>
      </c>
    </row>
    <row r="50" spans="1:4" x14ac:dyDescent="0.3">
      <c r="A50" s="1">
        <v>49</v>
      </c>
      <c r="B50" s="1" t="s">
        <v>42</v>
      </c>
      <c r="C50" s="1">
        <v>90</v>
      </c>
      <c r="D50" s="1">
        <v>100</v>
      </c>
    </row>
    <row r="51" spans="1:4" x14ac:dyDescent="0.3">
      <c r="A51" s="1">
        <v>50</v>
      </c>
      <c r="B51" s="1" t="s">
        <v>43</v>
      </c>
      <c r="C51" s="1">
        <v>75</v>
      </c>
      <c r="D51" s="1">
        <v>100</v>
      </c>
    </row>
    <row r="52" spans="1:4" x14ac:dyDescent="0.3">
      <c r="A52" s="1">
        <v>51</v>
      </c>
      <c r="B52" s="1" t="s">
        <v>44</v>
      </c>
      <c r="C52" s="1">
        <v>175</v>
      </c>
      <c r="D52" s="1">
        <v>100</v>
      </c>
    </row>
    <row r="53" spans="1:4" x14ac:dyDescent="0.3">
      <c r="A53" s="1">
        <v>52</v>
      </c>
      <c r="B53" s="1" t="s">
        <v>45</v>
      </c>
      <c r="C53" s="1">
        <v>50</v>
      </c>
      <c r="D53" s="1">
        <v>100</v>
      </c>
    </row>
    <row r="54" spans="1:4" x14ac:dyDescent="0.3">
      <c r="A54" s="1">
        <v>53</v>
      </c>
      <c r="B54" s="1" t="s">
        <v>46</v>
      </c>
      <c r="C54" s="1">
        <v>220</v>
      </c>
      <c r="D54" s="1">
        <v>100</v>
      </c>
    </row>
    <row r="55" spans="1:4" x14ac:dyDescent="0.3">
      <c r="A55" s="1">
        <v>54</v>
      </c>
      <c r="B55" s="1" t="s">
        <v>47</v>
      </c>
      <c r="C55" s="1">
        <v>3500</v>
      </c>
      <c r="D55" s="1">
        <v>50</v>
      </c>
    </row>
    <row r="56" spans="1:4" x14ac:dyDescent="0.3">
      <c r="A56" s="1">
        <v>55</v>
      </c>
      <c r="B56" s="1" t="s">
        <v>48</v>
      </c>
      <c r="C56" s="1">
        <v>40</v>
      </c>
      <c r="D56" s="1">
        <v>100</v>
      </c>
    </row>
    <row r="57" spans="1:4" x14ac:dyDescent="0.3">
      <c r="A57" s="1">
        <v>56</v>
      </c>
      <c r="B57" s="1" t="s">
        <v>49</v>
      </c>
      <c r="C57" s="1">
        <v>750</v>
      </c>
      <c r="D57" s="1">
        <v>50</v>
      </c>
    </row>
    <row r="58" spans="1:4" x14ac:dyDescent="0.3">
      <c r="A58" s="1">
        <v>57</v>
      </c>
      <c r="B58" s="1" t="s">
        <v>50</v>
      </c>
      <c r="C58" s="1">
        <v>310</v>
      </c>
      <c r="D58" s="1">
        <v>100</v>
      </c>
    </row>
    <row r="59" spans="1:4" x14ac:dyDescent="0.3">
      <c r="A59" s="1">
        <v>58</v>
      </c>
      <c r="B59" s="1" t="s">
        <v>51</v>
      </c>
      <c r="C59" s="1">
        <v>60</v>
      </c>
      <c r="D59" s="1">
        <v>50</v>
      </c>
    </row>
    <row r="60" spans="1:4" x14ac:dyDescent="0.3">
      <c r="A60" s="1">
        <v>59</v>
      </c>
      <c r="B60" s="1" t="s">
        <v>52</v>
      </c>
      <c r="C60" s="1">
        <v>35</v>
      </c>
      <c r="D60" s="1">
        <v>100</v>
      </c>
    </row>
    <row r="61" spans="1:4" x14ac:dyDescent="0.3">
      <c r="A61" s="1">
        <v>60</v>
      </c>
      <c r="B61" s="1" t="s">
        <v>53</v>
      </c>
      <c r="C61" s="1">
        <v>60</v>
      </c>
      <c r="D61" s="1">
        <v>50</v>
      </c>
    </row>
    <row r="62" spans="1:4" x14ac:dyDescent="0.3">
      <c r="A62" s="1">
        <v>61</v>
      </c>
      <c r="B62" s="1" t="s">
        <v>54</v>
      </c>
      <c r="C62" s="1">
        <v>190</v>
      </c>
      <c r="D62" s="1">
        <v>50</v>
      </c>
    </row>
    <row r="63" spans="1:4" x14ac:dyDescent="0.3">
      <c r="A63" s="1">
        <v>62</v>
      </c>
      <c r="B63" s="1" t="s">
        <v>55</v>
      </c>
      <c r="C63" s="1">
        <v>210</v>
      </c>
      <c r="D63" s="1">
        <v>50</v>
      </c>
    </row>
    <row r="64" spans="1:4" x14ac:dyDescent="0.3">
      <c r="A64" s="1">
        <v>63</v>
      </c>
      <c r="B64" s="1" t="s">
        <v>56</v>
      </c>
      <c r="C64" s="1">
        <v>230</v>
      </c>
      <c r="D64" s="1">
        <v>50</v>
      </c>
    </row>
    <row r="65" spans="1:4" x14ac:dyDescent="0.3">
      <c r="A65" s="1">
        <v>64</v>
      </c>
      <c r="B65" s="1" t="s">
        <v>57</v>
      </c>
      <c r="C65" s="1">
        <v>450</v>
      </c>
      <c r="D65" s="1">
        <v>50</v>
      </c>
    </row>
    <row r="66" spans="1:4" x14ac:dyDescent="0.3">
      <c r="A66" s="1">
        <v>65</v>
      </c>
      <c r="B66" s="1" t="s">
        <v>58</v>
      </c>
      <c r="C66" s="1">
        <v>40</v>
      </c>
      <c r="D66" s="1">
        <v>50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EE5A8-6F2D-4605-9B5C-3E0EC017978F}">
  <sheetPr codeName="Sheet3"/>
  <dimension ref="A2:E7"/>
  <sheetViews>
    <sheetView workbookViewId="0">
      <selection activeCell="E2" sqref="E2:E7"/>
    </sheetView>
  </sheetViews>
  <sheetFormatPr defaultRowHeight="14.4" x14ac:dyDescent="0.3"/>
  <cols>
    <col min="1" max="1" width="15.21875" customWidth="1"/>
  </cols>
  <sheetData>
    <row r="2" spans="1:5" x14ac:dyDescent="0.3">
      <c r="A2" t="s">
        <v>80</v>
      </c>
      <c r="E2">
        <v>45588</v>
      </c>
    </row>
    <row r="3" spans="1:5" x14ac:dyDescent="0.3">
      <c r="A3" t="s">
        <v>81</v>
      </c>
      <c r="E3" s="3">
        <f>MAX(0)+1</f>
        <v>1</v>
      </c>
    </row>
    <row r="4" spans="1:5" ht="15" thickBot="1" x14ac:dyDescent="0.35">
      <c r="A4" t="s">
        <v>82</v>
      </c>
      <c r="E4" t="s">
        <v>80</v>
      </c>
    </row>
    <row r="5" spans="1:5" ht="15" thickBot="1" x14ac:dyDescent="0.35">
      <c r="A5" t="s">
        <v>83</v>
      </c>
      <c r="E5" s="6">
        <v>3830</v>
      </c>
    </row>
    <row r="6" spans="1:5" ht="15" thickBot="1" x14ac:dyDescent="0.35">
      <c r="E6" s="6">
        <v>0</v>
      </c>
    </row>
    <row r="7" spans="1:5" x14ac:dyDescent="0.3">
      <c r="E7">
        <v>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7DC18-4BE6-422F-A42E-C3F17A39E304}">
  <sheetPr codeName="Sheet4"/>
  <dimension ref="A1:F3"/>
  <sheetViews>
    <sheetView showGridLines="0" workbookViewId="0">
      <selection activeCell="A3" sqref="A3"/>
    </sheetView>
  </sheetViews>
  <sheetFormatPr defaultRowHeight="14.4" x14ac:dyDescent="0.3"/>
  <cols>
    <col min="1" max="1" width="11.33203125" customWidth="1"/>
    <col min="2" max="2" width="13.109375" customWidth="1"/>
    <col min="3" max="3" width="19.88671875" customWidth="1"/>
    <col min="4" max="5" width="11.44140625" customWidth="1"/>
    <col min="6" max="6" width="15.6640625" customWidth="1"/>
  </cols>
  <sheetData>
    <row r="1" spans="1:6" ht="15" thickBot="1" x14ac:dyDescent="0.35">
      <c r="A1" s="7" t="s">
        <v>69</v>
      </c>
      <c r="B1" s="7" t="s">
        <v>79</v>
      </c>
      <c r="C1" s="7" t="s">
        <v>70</v>
      </c>
      <c r="D1" s="7" t="s">
        <v>78</v>
      </c>
      <c r="E1" s="7" t="s">
        <v>76</v>
      </c>
      <c r="F1" s="7" t="s">
        <v>77</v>
      </c>
    </row>
    <row r="2" spans="1:6" ht="15.6" thickTop="1" thickBot="1" x14ac:dyDescent="0.35">
      <c r="A2" s="9">
        <v>45588</v>
      </c>
      <c r="B2" s="10">
        <v>1</v>
      </c>
      <c r="C2" s="10" t="s">
        <v>80</v>
      </c>
      <c r="D2" s="10">
        <v>3830</v>
      </c>
      <c r="E2" s="10">
        <v>0</v>
      </c>
      <c r="F2" s="10">
        <v>0</v>
      </c>
    </row>
    <row r="3" spans="1:6" ht="15" thickTop="1" x14ac:dyDescent="0.3">
      <c r="A3" s="8" t="s">
        <v>84</v>
      </c>
      <c r="B3" s="8"/>
      <c r="C3" s="8"/>
      <c r="D3" s="8"/>
      <c r="E3" s="8"/>
      <c r="F3" s="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ADCBAC-39CE-4577-B5E6-2701666514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INVOICE</vt:lpstr>
      <vt:lpstr>STOCK REPORT</vt:lpstr>
      <vt:lpstr>HELPING SHEET</vt:lpstr>
      <vt:lpstr>MAINTANCE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rxrider2903@outlook.com</dc:creator>
  <cp:lastModifiedBy>rxrider2903@outlook.com</cp:lastModifiedBy>
  <cp:lastPrinted>2024-11-30T05:23:53Z</cp:lastPrinted>
  <dcterms:created xsi:type="dcterms:W3CDTF">2024-10-22T05:45:29Z</dcterms:created>
  <dcterms:modified xsi:type="dcterms:W3CDTF">2024-12-12T05:13:08Z</dcterms:modified>
</cp:coreProperties>
</file>